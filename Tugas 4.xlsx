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IMP\"/>
    </mc:Choice>
  </mc:AlternateContent>
  <xr:revisionPtr revIDLastSave="0" documentId="8_{A5E10163-FE4E-46B5-8E61-BB85BE878CE2}" xr6:coauthVersionLast="47" xr6:coauthVersionMax="47" xr10:uidLastSave="{00000000-0000-0000-0000-000000000000}"/>
  <bookViews>
    <workbookView xWindow="-120" yWindow="-120" windowWidth="20730" windowHeight="11160" xr2:uid="{4189084E-A84F-42DA-8D1F-5FD24E0BEC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G22" i="1"/>
  <c r="G21" i="1"/>
  <c r="H28" i="1"/>
  <c r="G29" i="1"/>
  <c r="G28" i="1"/>
  <c r="H35" i="1"/>
  <c r="G36" i="1"/>
  <c r="G35" i="1"/>
  <c r="H42" i="1"/>
  <c r="G43" i="1"/>
  <c r="G42" i="1"/>
  <c r="F42" i="1"/>
  <c r="E42" i="1"/>
  <c r="D42" i="1"/>
  <c r="C42" i="1"/>
  <c r="B42" i="1"/>
  <c r="C41" i="1"/>
  <c r="D41" i="1"/>
  <c r="E41" i="1"/>
  <c r="F41" i="1"/>
  <c r="B41" i="1"/>
  <c r="F35" i="1"/>
  <c r="E35" i="1"/>
  <c r="D35" i="1"/>
  <c r="C35" i="1"/>
  <c r="B35" i="1"/>
  <c r="F34" i="1"/>
  <c r="E34" i="1"/>
  <c r="D34" i="1"/>
  <c r="C34" i="1"/>
  <c r="B34" i="1"/>
  <c r="F27" i="1"/>
  <c r="F28" i="1" s="1"/>
  <c r="E27" i="1"/>
  <c r="E28" i="1" s="1"/>
  <c r="D27" i="1"/>
  <c r="D28" i="1" s="1"/>
  <c r="C27" i="1"/>
  <c r="C28" i="1" s="1"/>
  <c r="B27" i="1"/>
  <c r="B28" i="1" s="1"/>
  <c r="F20" i="1"/>
  <c r="F21" i="1" s="1"/>
  <c r="E20" i="1"/>
  <c r="E21" i="1" s="1"/>
  <c r="D20" i="1"/>
  <c r="D21" i="1" s="1"/>
  <c r="C20" i="1"/>
  <c r="C21" i="1" s="1"/>
  <c r="B20" i="1"/>
  <c r="B21" i="1" s="1"/>
  <c r="G15" i="1"/>
  <c r="F13" i="1"/>
  <c r="F14" i="1" s="1"/>
  <c r="E13" i="1"/>
  <c r="E14" i="1" s="1"/>
  <c r="D13" i="1"/>
  <c r="D14" i="1" s="1"/>
  <c r="C13" i="1"/>
  <c r="C14" i="1" s="1"/>
  <c r="B13" i="1"/>
  <c r="B14" i="1" s="1"/>
  <c r="G14" i="1" s="1"/>
  <c r="H14" i="1" s="1"/>
  <c r="G8" i="1"/>
  <c r="F6" i="1"/>
  <c r="F7" i="1" s="1"/>
  <c r="E6" i="1"/>
  <c r="E7" i="1" s="1"/>
  <c r="D6" i="1"/>
  <c r="D7" i="1" s="1"/>
  <c r="C6" i="1"/>
  <c r="C7" i="1" s="1"/>
  <c r="B6" i="1"/>
  <c r="B7" i="1" s="1"/>
  <c r="G7" i="1" s="1"/>
  <c r="H7" i="1" s="1"/>
</calcChain>
</file>

<file path=xl/sharedStrings.xml><?xml version="1.0" encoding="utf-8"?>
<sst xmlns="http://schemas.openxmlformats.org/spreadsheetml/2006/main" count="67" uniqueCount="28">
  <si>
    <t xml:space="preserve">kreteria </t>
  </si>
  <si>
    <t xml:space="preserve">Performance </t>
  </si>
  <si>
    <t>Pertanyaan 1</t>
  </si>
  <si>
    <t>Pertanyaan 2</t>
  </si>
  <si>
    <t xml:space="preserve">Information </t>
  </si>
  <si>
    <t xml:space="preserve">Pertanyaan 1 </t>
  </si>
  <si>
    <t>pertanyaan 2</t>
  </si>
  <si>
    <t>STP(1)</t>
  </si>
  <si>
    <t>TP(2)</t>
  </si>
  <si>
    <t>P(3)</t>
  </si>
  <si>
    <t>CP(4)</t>
  </si>
  <si>
    <t>SP(5)</t>
  </si>
  <si>
    <t>Economy</t>
  </si>
  <si>
    <t>Control</t>
  </si>
  <si>
    <t>Efficency</t>
  </si>
  <si>
    <t>Service</t>
  </si>
  <si>
    <t>KRETERIA</t>
  </si>
  <si>
    <t>1.00 - 1.80</t>
  </si>
  <si>
    <t>1.81 - 2.60</t>
  </si>
  <si>
    <t>2.61 - 3.40</t>
  </si>
  <si>
    <t>3.41 - 4.20</t>
  </si>
  <si>
    <t>4.21 - 5.00</t>
  </si>
  <si>
    <t xml:space="preserve">SANGAT TIDAK PUAS </t>
  </si>
  <si>
    <t xml:space="preserve">TIDAK PUAS </t>
  </si>
  <si>
    <t>PUAS</t>
  </si>
  <si>
    <t>CUKUP PUAS</t>
  </si>
  <si>
    <t>SANGAT PUAS</t>
  </si>
  <si>
    <t xml:space="preserve">KRETERIA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</si>
</sst>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Sheet1!$L$12:$L$17</c:f>
              <c:strCache>
                <c:ptCount val="6"/>
                <c:pt idx="0">
                  <c:v>Performance </c:v>
                </c:pt>
                <c:pt idx="1">
                  <c:v>Information </c:v>
                </c:pt>
                <c:pt idx="2">
                  <c:v>Economy</c:v>
                </c:pt>
                <c:pt idx="3">
                  <c:v>Control</c:v>
                </c:pt>
                <c:pt idx="4">
                  <c:v>Efficency</c:v>
                </c:pt>
                <c:pt idx="5">
                  <c:v>Service</c:v>
                </c:pt>
              </c:strCache>
            </c:strRef>
          </c:cat>
          <c:val>
            <c:numRef>
              <c:f>Sheet1!$M$12:$M$17</c:f>
              <c:numCache>
                <c:formatCode>General</c:formatCode>
                <c:ptCount val="6"/>
                <c:pt idx="0">
                  <c:v>4.2</c:v>
                </c:pt>
                <c:pt idx="1">
                  <c:v>4.3</c:v>
                </c:pt>
                <c:pt idx="2">
                  <c:v>4.0999999999999996</c:v>
                </c:pt>
                <c:pt idx="3">
                  <c:v>4.25</c:v>
                </c:pt>
                <c:pt idx="4">
                  <c:v>4.05</c:v>
                </c:pt>
                <c:pt idx="5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3-47C9-81C6-738A54EDE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946528"/>
        <c:axId val="1909933568"/>
      </c:radarChart>
      <c:catAx>
        <c:axId val="190994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33568"/>
        <c:crosses val="autoZero"/>
        <c:auto val="1"/>
        <c:lblAlgn val="ctr"/>
        <c:lblOffset val="100"/>
        <c:noMultiLvlLbl val="0"/>
      </c:catAx>
      <c:valAx>
        <c:axId val="190993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4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564284</xdr:colOff>
      <xdr:row>20</xdr:row>
      <xdr:rowOff>187036</xdr:rowOff>
    </xdr:from>
    <xdr:to>
      <xdr:col>16</xdr:col>
      <xdr:colOff>70716</xdr:colOff>
      <xdr:row>35</xdr:row>
      <xdr:rowOff>116032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96087-0EB9-AF86-E028-092C9C16F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4B0B-FCCA-444E-ADE2-3C3618D07DFB}">
  <dimension ref="A1:M43"/>
  <sheetViews>
    <sheetView tabSelected="1" topLeftCell="A12" zoomScale="66" zoomScaleNormal="66" workbookViewId="0">
      <selection activeCell="V26" sqref="V26"/>
    </sheetView>
  </sheetViews>
  <sheetFormatPr defaultRowHeight="15" x14ac:dyDescent="0.25"/>
  <cols>
    <col min="1" max="1" width="14.85546875" bestFit="1" customWidth="1"/>
    <col min="12" max="12" width="14.85546875" bestFit="1" customWidth="1"/>
    <col min="13" max="13" width="24.5703125" bestFit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</row>
    <row r="2" spans="1:13" x14ac:dyDescent="0.25">
      <c r="A2" s="3"/>
      <c r="B2" s="3"/>
      <c r="C2" s="3"/>
      <c r="D2" s="3"/>
      <c r="E2" s="3"/>
      <c r="F2" s="3"/>
    </row>
    <row r="3" spans="1:13" x14ac:dyDescent="0.25">
      <c r="A3" s="6" t="s">
        <v>1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L3" s="11" t="s">
        <v>16</v>
      </c>
      <c r="M3" s="12"/>
    </row>
    <row r="4" spans="1:13" x14ac:dyDescent="0.25">
      <c r="A4" s="1" t="s">
        <v>2</v>
      </c>
      <c r="B4" s="5">
        <v>0</v>
      </c>
      <c r="C4" s="5">
        <v>0</v>
      </c>
      <c r="D4" s="5">
        <v>2</v>
      </c>
      <c r="E4" s="5">
        <v>3</v>
      </c>
      <c r="F4" s="5">
        <v>5</v>
      </c>
      <c r="G4" s="10">
        <v>10</v>
      </c>
      <c r="L4" s="6" t="s">
        <v>17</v>
      </c>
      <c r="M4" s="1" t="s">
        <v>22</v>
      </c>
    </row>
    <row r="5" spans="1:13" x14ac:dyDescent="0.25">
      <c r="A5" s="1" t="s">
        <v>3</v>
      </c>
      <c r="B5" s="5">
        <v>0</v>
      </c>
      <c r="C5" s="5">
        <v>0</v>
      </c>
      <c r="D5" s="5">
        <v>4</v>
      </c>
      <c r="E5" s="5">
        <v>1</v>
      </c>
      <c r="F5" s="5">
        <v>5</v>
      </c>
      <c r="G5" s="10">
        <v>10</v>
      </c>
      <c r="L5" s="6" t="s">
        <v>18</v>
      </c>
      <c r="M5" s="1" t="s">
        <v>23</v>
      </c>
    </row>
    <row r="6" spans="1:13" x14ac:dyDescent="0.25">
      <c r="A6" s="8"/>
      <c r="B6" s="9">
        <f>SUM(B4:B5)</f>
        <v>0</v>
      </c>
      <c r="C6" s="9">
        <f>SUM(C4:C5)</f>
        <v>0</v>
      </c>
      <c r="D6" s="9">
        <f>SUM(D4:D5)</f>
        <v>6</v>
      </c>
      <c r="E6" s="9">
        <f>SUM(E4:E5)</f>
        <v>4</v>
      </c>
      <c r="F6" s="9">
        <f>SUM(F4:F5)</f>
        <v>10</v>
      </c>
      <c r="L6" s="6" t="s">
        <v>19</v>
      </c>
      <c r="M6" s="1" t="s">
        <v>24</v>
      </c>
    </row>
    <row r="7" spans="1:13" x14ac:dyDescent="0.25">
      <c r="A7" s="8"/>
      <c r="B7" s="9">
        <f>B6*1</f>
        <v>0</v>
      </c>
      <c r="C7" s="9">
        <f>C6*2</f>
        <v>0</v>
      </c>
      <c r="D7" s="9">
        <f>D6*3</f>
        <v>18</v>
      </c>
      <c r="E7" s="9">
        <f>E6*4</f>
        <v>16</v>
      </c>
      <c r="F7" s="9">
        <f>F6*5</f>
        <v>50</v>
      </c>
      <c r="G7">
        <f>SUM(B7:F7)</f>
        <v>84</v>
      </c>
      <c r="H7">
        <f>G7/G8</f>
        <v>4.2</v>
      </c>
      <c r="L7" s="6" t="s">
        <v>20</v>
      </c>
      <c r="M7" s="1" t="s">
        <v>25</v>
      </c>
    </row>
    <row r="8" spans="1:13" x14ac:dyDescent="0.25">
      <c r="A8" s="8"/>
      <c r="B8" s="9"/>
      <c r="C8" s="9"/>
      <c r="D8" s="9"/>
      <c r="E8" s="9"/>
      <c r="F8" s="9"/>
      <c r="G8">
        <f>SUM(G4:G5)</f>
        <v>20</v>
      </c>
      <c r="L8" s="6" t="s">
        <v>21</v>
      </c>
      <c r="M8" s="1" t="s">
        <v>26</v>
      </c>
    </row>
    <row r="10" spans="1:13" x14ac:dyDescent="0.25">
      <c r="A10" s="7" t="s">
        <v>4</v>
      </c>
      <c r="B10" s="7" t="s">
        <v>7</v>
      </c>
      <c r="C10" s="7" t="s">
        <v>8</v>
      </c>
      <c r="D10" s="7" t="s">
        <v>9</v>
      </c>
      <c r="E10" s="7" t="s">
        <v>10</v>
      </c>
      <c r="F10" s="7" t="s">
        <v>11</v>
      </c>
    </row>
    <row r="11" spans="1:13" x14ac:dyDescent="0.25">
      <c r="A11" s="1" t="s">
        <v>5</v>
      </c>
      <c r="B11" s="5">
        <v>0</v>
      </c>
      <c r="C11" s="5">
        <v>0</v>
      </c>
      <c r="D11" s="5">
        <v>3</v>
      </c>
      <c r="E11" s="5">
        <v>4</v>
      </c>
      <c r="F11" s="5">
        <v>3</v>
      </c>
      <c r="G11" s="10">
        <v>10</v>
      </c>
      <c r="L11" s="11" t="s">
        <v>27</v>
      </c>
      <c r="M11" s="12"/>
    </row>
    <row r="12" spans="1:13" x14ac:dyDescent="0.25">
      <c r="A12" s="1" t="s">
        <v>6</v>
      </c>
      <c r="B12" s="5">
        <v>0</v>
      </c>
      <c r="C12" s="5">
        <v>0</v>
      </c>
      <c r="D12" s="5">
        <v>4</v>
      </c>
      <c r="E12" s="5">
        <v>6</v>
      </c>
      <c r="F12" s="5">
        <v>2</v>
      </c>
      <c r="G12" s="10">
        <v>10</v>
      </c>
      <c r="L12" s="6" t="s">
        <v>1</v>
      </c>
      <c r="M12" s="1">
        <v>4.2</v>
      </c>
    </row>
    <row r="13" spans="1:13" x14ac:dyDescent="0.25">
      <c r="A13" s="8"/>
      <c r="B13" s="9">
        <f>SUM(B11:B12)</f>
        <v>0</v>
      </c>
      <c r="C13" s="9">
        <f>SUM(C11:C12)</f>
        <v>0</v>
      </c>
      <c r="D13" s="9">
        <f>SUM(D11:D12)</f>
        <v>7</v>
      </c>
      <c r="E13" s="9">
        <f>SUM(E11:E12)</f>
        <v>10</v>
      </c>
      <c r="F13" s="9">
        <f>SUM(F11:F12)</f>
        <v>5</v>
      </c>
      <c r="L13" s="7" t="s">
        <v>4</v>
      </c>
      <c r="M13" s="1">
        <v>4.3</v>
      </c>
    </row>
    <row r="14" spans="1:13" x14ac:dyDescent="0.25">
      <c r="A14" s="8"/>
      <c r="B14" s="9">
        <f>B13*1</f>
        <v>0</v>
      </c>
      <c r="C14" s="9">
        <f>C13*2</f>
        <v>0</v>
      </c>
      <c r="D14" s="9">
        <f>D13*3</f>
        <v>21</v>
      </c>
      <c r="E14" s="9">
        <f>E13*4</f>
        <v>40</v>
      </c>
      <c r="F14" s="9">
        <f>F13*5</f>
        <v>25</v>
      </c>
      <c r="G14">
        <f>SUM(B14:F14)</f>
        <v>86</v>
      </c>
      <c r="H14">
        <f>G14/G15</f>
        <v>4.3</v>
      </c>
      <c r="L14" s="7" t="s">
        <v>12</v>
      </c>
      <c r="M14" s="1">
        <v>4.0999999999999996</v>
      </c>
    </row>
    <row r="15" spans="1:13" x14ac:dyDescent="0.25">
      <c r="A15" s="8"/>
      <c r="B15" s="9"/>
      <c r="C15" s="9"/>
      <c r="D15" s="9"/>
      <c r="E15" s="9"/>
      <c r="F15" s="9"/>
      <c r="G15">
        <f>SUM(G4:G5)</f>
        <v>20</v>
      </c>
      <c r="L15" s="7" t="s">
        <v>13</v>
      </c>
      <c r="M15" s="1">
        <v>4.25</v>
      </c>
    </row>
    <row r="16" spans="1:13" x14ac:dyDescent="0.25">
      <c r="B16" s="2"/>
      <c r="C16" s="2"/>
      <c r="D16" s="2"/>
      <c r="E16" s="2"/>
      <c r="F16" s="2"/>
      <c r="L16" s="7" t="s">
        <v>14</v>
      </c>
      <c r="M16" s="1">
        <v>4.05</v>
      </c>
    </row>
    <row r="17" spans="1:13" x14ac:dyDescent="0.25">
      <c r="A17" s="7" t="s">
        <v>12</v>
      </c>
      <c r="B17" s="7" t="s">
        <v>7</v>
      </c>
      <c r="C17" s="7" t="s">
        <v>8</v>
      </c>
      <c r="D17" s="7" t="s">
        <v>9</v>
      </c>
      <c r="E17" s="7" t="s">
        <v>10</v>
      </c>
      <c r="F17" s="7" t="s">
        <v>11</v>
      </c>
      <c r="L17" s="7" t="s">
        <v>15</v>
      </c>
      <c r="M17" s="1">
        <v>3.9</v>
      </c>
    </row>
    <row r="18" spans="1:13" x14ac:dyDescent="0.25">
      <c r="A18" s="1" t="s">
        <v>5</v>
      </c>
      <c r="B18" s="5">
        <v>0</v>
      </c>
      <c r="C18" s="5">
        <v>0</v>
      </c>
      <c r="D18" s="5">
        <v>3</v>
      </c>
      <c r="E18" s="5">
        <v>4</v>
      </c>
      <c r="F18" s="5">
        <v>3</v>
      </c>
      <c r="G18" s="10">
        <v>10</v>
      </c>
    </row>
    <row r="19" spans="1:13" x14ac:dyDescent="0.25">
      <c r="A19" s="1" t="s">
        <v>6</v>
      </c>
      <c r="B19" s="5">
        <v>0</v>
      </c>
      <c r="C19" s="5">
        <v>0</v>
      </c>
      <c r="D19" s="5">
        <v>3</v>
      </c>
      <c r="E19" s="5">
        <v>2</v>
      </c>
      <c r="F19" s="5">
        <v>5</v>
      </c>
      <c r="G19" s="10">
        <v>10</v>
      </c>
    </row>
    <row r="20" spans="1:13" x14ac:dyDescent="0.25">
      <c r="A20" s="8"/>
      <c r="B20" s="9">
        <f>SUM(B18:B19)</f>
        <v>0</v>
      </c>
      <c r="C20" s="9">
        <f>SUM(C18:C19)</f>
        <v>0</v>
      </c>
      <c r="D20" s="9">
        <f>SUM(D18:D19)</f>
        <v>6</v>
      </c>
      <c r="E20" s="9">
        <f>SUM(E18:E19)</f>
        <v>6</v>
      </c>
      <c r="F20" s="9">
        <f>SUM(F18:F19)</f>
        <v>8</v>
      </c>
    </row>
    <row r="21" spans="1:13" x14ac:dyDescent="0.25">
      <c r="A21" s="8"/>
      <c r="B21" s="9">
        <f>B20*1</f>
        <v>0</v>
      </c>
      <c r="C21" s="9">
        <f>C20*2</f>
        <v>0</v>
      </c>
      <c r="D21" s="9">
        <f>D20*3</f>
        <v>18</v>
      </c>
      <c r="E21" s="9">
        <f>E20*4</f>
        <v>24</v>
      </c>
      <c r="F21" s="9">
        <f>F20*5</f>
        <v>40</v>
      </c>
      <c r="G21">
        <f>SUM(B21:F21)</f>
        <v>82</v>
      </c>
      <c r="H21">
        <f>G21/G22</f>
        <v>4.0999999999999996</v>
      </c>
    </row>
    <row r="22" spans="1:13" x14ac:dyDescent="0.25">
      <c r="A22" s="8"/>
      <c r="B22" s="9"/>
      <c r="C22" s="9"/>
      <c r="D22" s="9"/>
      <c r="E22" s="9"/>
      <c r="F22" s="9"/>
      <c r="G22">
        <f>SUM(G18:G19)</f>
        <v>20</v>
      </c>
    </row>
    <row r="23" spans="1:13" x14ac:dyDescent="0.25">
      <c r="B23" s="2"/>
      <c r="C23" s="2"/>
      <c r="D23" s="2"/>
      <c r="E23" s="2"/>
      <c r="F23" s="2"/>
    </row>
    <row r="24" spans="1:13" x14ac:dyDescent="0.25">
      <c r="A24" s="7" t="s">
        <v>13</v>
      </c>
      <c r="B24" s="7" t="s">
        <v>7</v>
      </c>
      <c r="C24" s="7" t="s">
        <v>8</v>
      </c>
      <c r="D24" s="7" t="s">
        <v>9</v>
      </c>
      <c r="E24" s="7" t="s">
        <v>10</v>
      </c>
      <c r="F24" s="7" t="s">
        <v>11</v>
      </c>
      <c r="I24" s="8"/>
      <c r="J24" s="8"/>
    </row>
    <row r="25" spans="1:13" x14ac:dyDescent="0.25">
      <c r="A25" s="1" t="s">
        <v>5</v>
      </c>
      <c r="B25" s="5">
        <v>0</v>
      </c>
      <c r="C25" s="5">
        <v>0</v>
      </c>
      <c r="D25" s="5">
        <v>4</v>
      </c>
      <c r="E25" s="5">
        <v>3</v>
      </c>
      <c r="F25" s="5">
        <v>3</v>
      </c>
      <c r="G25" s="10">
        <v>10</v>
      </c>
      <c r="I25" s="8"/>
      <c r="J25" s="8"/>
    </row>
    <row r="26" spans="1:13" x14ac:dyDescent="0.25">
      <c r="A26" s="1" t="s">
        <v>6</v>
      </c>
      <c r="B26" s="5">
        <v>0</v>
      </c>
      <c r="C26" s="5">
        <v>0</v>
      </c>
      <c r="D26" s="5">
        <v>3</v>
      </c>
      <c r="E26" s="5">
        <v>3</v>
      </c>
      <c r="F26" s="5">
        <v>5</v>
      </c>
      <c r="G26" s="10">
        <v>10</v>
      </c>
    </row>
    <row r="27" spans="1:13" x14ac:dyDescent="0.25">
      <c r="A27" s="8"/>
      <c r="B27" s="9">
        <f>SUM(B25:B26)</f>
        <v>0</v>
      </c>
      <c r="C27" s="9">
        <f>SUM(C25:C26)</f>
        <v>0</v>
      </c>
      <c r="D27" s="9">
        <f>SUM(D25:D26)</f>
        <v>7</v>
      </c>
      <c r="E27" s="9">
        <f>SUM(E25:E26)</f>
        <v>6</v>
      </c>
      <c r="F27" s="9">
        <f>SUM(F25:F26)</f>
        <v>8</v>
      </c>
    </row>
    <row r="28" spans="1:13" x14ac:dyDescent="0.25">
      <c r="A28" s="8"/>
      <c r="B28" s="9">
        <f>B27*1</f>
        <v>0</v>
      </c>
      <c r="C28" s="9">
        <f>C27*2</f>
        <v>0</v>
      </c>
      <c r="D28" s="9">
        <f>D27*3</f>
        <v>21</v>
      </c>
      <c r="E28" s="9">
        <f>E27*4</f>
        <v>24</v>
      </c>
      <c r="F28" s="9">
        <f>F27*5</f>
        <v>40</v>
      </c>
      <c r="G28">
        <f>SUM(B28:F28)</f>
        <v>85</v>
      </c>
      <c r="H28">
        <f>G28/G29</f>
        <v>4.25</v>
      </c>
    </row>
    <row r="29" spans="1:13" x14ac:dyDescent="0.25">
      <c r="A29" s="8"/>
      <c r="B29" s="9"/>
      <c r="C29" s="9"/>
      <c r="D29" s="9"/>
      <c r="E29" s="9"/>
      <c r="F29" s="9"/>
      <c r="G29">
        <f>SUM(G25:G26)</f>
        <v>20</v>
      </c>
    </row>
    <row r="30" spans="1:13" x14ac:dyDescent="0.25">
      <c r="B30" s="2"/>
      <c r="C30" s="2"/>
      <c r="D30" s="2"/>
      <c r="E30" s="2"/>
      <c r="F30" s="2"/>
    </row>
    <row r="31" spans="1:13" x14ac:dyDescent="0.25">
      <c r="A31" s="7" t="s">
        <v>14</v>
      </c>
      <c r="B31" s="7" t="s">
        <v>7</v>
      </c>
      <c r="C31" s="7" t="s">
        <v>8</v>
      </c>
      <c r="D31" s="7" t="s">
        <v>9</v>
      </c>
      <c r="E31" s="7" t="s">
        <v>10</v>
      </c>
      <c r="F31" s="7" t="s">
        <v>11</v>
      </c>
    </row>
    <row r="32" spans="1:13" x14ac:dyDescent="0.25">
      <c r="A32" s="1" t="s">
        <v>5</v>
      </c>
      <c r="B32" s="5">
        <v>0</v>
      </c>
      <c r="C32" s="5">
        <v>0</v>
      </c>
      <c r="D32" s="5">
        <v>4</v>
      </c>
      <c r="E32" s="5">
        <v>2</v>
      </c>
      <c r="F32" s="5">
        <v>4</v>
      </c>
      <c r="G32" s="10">
        <v>10</v>
      </c>
    </row>
    <row r="33" spans="1:8" x14ac:dyDescent="0.25">
      <c r="A33" s="1" t="s">
        <v>6</v>
      </c>
      <c r="B33" s="5">
        <v>0</v>
      </c>
      <c r="C33" s="5">
        <v>0</v>
      </c>
      <c r="D33" s="5">
        <v>3</v>
      </c>
      <c r="E33" s="5">
        <v>3</v>
      </c>
      <c r="F33" s="5">
        <v>4</v>
      </c>
      <c r="G33" s="10">
        <v>10</v>
      </c>
    </row>
    <row r="34" spans="1:8" x14ac:dyDescent="0.25">
      <c r="A34" s="8"/>
      <c r="B34" s="9">
        <f>SUM(B32:B33)</f>
        <v>0</v>
      </c>
      <c r="C34" s="9">
        <f>SUM(C32:C33)</f>
        <v>0</v>
      </c>
      <c r="D34" s="9">
        <f>SUM(D32:D33)</f>
        <v>7</v>
      </c>
      <c r="E34" s="9">
        <f>SUM(E32:E33)</f>
        <v>5</v>
      </c>
      <c r="F34" s="9">
        <f>SUM(F32:F33)</f>
        <v>8</v>
      </c>
    </row>
    <row r="35" spans="1:8" x14ac:dyDescent="0.25">
      <c r="A35" s="8"/>
      <c r="B35" s="9">
        <f>B34*1</f>
        <v>0</v>
      </c>
      <c r="C35" s="9">
        <f>C34*2</f>
        <v>0</v>
      </c>
      <c r="D35" s="9">
        <f>D34*3</f>
        <v>21</v>
      </c>
      <c r="E35" s="9">
        <f>E34*4</f>
        <v>20</v>
      </c>
      <c r="F35" s="9">
        <f>F34*5</f>
        <v>40</v>
      </c>
      <c r="G35">
        <f>SUM(B35:F35)</f>
        <v>81</v>
      </c>
      <c r="H35">
        <f>G35/G36</f>
        <v>4.05</v>
      </c>
    </row>
    <row r="36" spans="1:8" x14ac:dyDescent="0.25">
      <c r="A36" s="8"/>
      <c r="B36" s="9"/>
      <c r="C36" s="9"/>
      <c r="D36" s="9"/>
      <c r="E36" s="9"/>
      <c r="F36" s="9"/>
      <c r="G36">
        <f>SUM(G32:G33)</f>
        <v>20</v>
      </c>
    </row>
    <row r="37" spans="1:8" x14ac:dyDescent="0.25">
      <c r="B37" s="2"/>
      <c r="C37" s="2"/>
      <c r="D37" s="2"/>
      <c r="E37" s="2"/>
      <c r="F37" s="2"/>
    </row>
    <row r="38" spans="1:8" x14ac:dyDescent="0.25">
      <c r="A38" s="7" t="s">
        <v>15</v>
      </c>
      <c r="B38" s="7" t="s">
        <v>7</v>
      </c>
      <c r="C38" s="7" t="s">
        <v>8</v>
      </c>
      <c r="D38" s="7" t="s">
        <v>9</v>
      </c>
      <c r="E38" s="7" t="s">
        <v>10</v>
      </c>
      <c r="F38" s="7" t="s">
        <v>11</v>
      </c>
    </row>
    <row r="39" spans="1:8" x14ac:dyDescent="0.25">
      <c r="A39" s="1" t="s">
        <v>5</v>
      </c>
      <c r="B39" s="5">
        <v>0</v>
      </c>
      <c r="C39" s="5">
        <v>0</v>
      </c>
      <c r="D39" s="5">
        <v>4</v>
      </c>
      <c r="E39" s="5">
        <v>3</v>
      </c>
      <c r="F39" s="5">
        <v>3</v>
      </c>
      <c r="G39" s="10">
        <v>10</v>
      </c>
    </row>
    <row r="40" spans="1:8" x14ac:dyDescent="0.25">
      <c r="A40" s="1" t="s">
        <v>6</v>
      </c>
      <c r="B40" s="5">
        <v>0</v>
      </c>
      <c r="C40" s="5">
        <v>0</v>
      </c>
      <c r="D40" s="5">
        <v>4</v>
      </c>
      <c r="E40" s="5">
        <v>3</v>
      </c>
      <c r="F40" s="5">
        <v>3</v>
      </c>
      <c r="G40" s="10">
        <v>10</v>
      </c>
    </row>
    <row r="41" spans="1:8" x14ac:dyDescent="0.25">
      <c r="B41" s="2">
        <f>SUM(B39:B40)</f>
        <v>0</v>
      </c>
      <c r="C41" s="2">
        <f t="shared" ref="C41:F41" si="0">SUM(C39:C40)</f>
        <v>0</v>
      </c>
      <c r="D41" s="2">
        <f t="shared" si="0"/>
        <v>8</v>
      </c>
      <c r="E41" s="2">
        <f t="shared" si="0"/>
        <v>6</v>
      </c>
      <c r="F41" s="2">
        <f t="shared" si="0"/>
        <v>6</v>
      </c>
    </row>
    <row r="42" spans="1:8" x14ac:dyDescent="0.25">
      <c r="B42" s="2">
        <f>B41*1</f>
        <v>0</v>
      </c>
      <c r="C42" s="2">
        <f>C41*2</f>
        <v>0</v>
      </c>
      <c r="D42" s="2">
        <f>D41*3</f>
        <v>24</v>
      </c>
      <c r="E42" s="2">
        <f>E41*4</f>
        <v>24</v>
      </c>
      <c r="F42" s="2">
        <f>F41*5</f>
        <v>30</v>
      </c>
      <c r="G42">
        <f>SUM(B42:F42)</f>
        <v>78</v>
      </c>
      <c r="H42">
        <f>G42/G43</f>
        <v>3.9</v>
      </c>
    </row>
    <row r="43" spans="1:8" x14ac:dyDescent="0.25">
      <c r="G43">
        <f>SUM(G4:G5)</f>
        <v>20</v>
      </c>
    </row>
  </sheetData>
  <mergeCells count="3">
    <mergeCell ref="A1:F1"/>
    <mergeCell ref="L3:M3"/>
    <mergeCell ref="L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Ifana</dc:creator>
  <cp:lastModifiedBy>Ali Ifana</cp:lastModifiedBy>
  <dcterms:created xsi:type="dcterms:W3CDTF">2026-05-08T13:06:50Z</dcterms:created>
  <dcterms:modified xsi:type="dcterms:W3CDTF">2026-05-08T14:52:10Z</dcterms:modified>
</cp:coreProperties>
</file>